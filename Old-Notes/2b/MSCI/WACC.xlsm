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brian\Desktop\For MSCI 261\"/>
    </mc:Choice>
  </mc:AlternateContent>
  <bookViews>
    <workbookView xWindow="720" yWindow="510" windowWidth="13740" windowHeight="8445" firstSheet="1" activeTab="7"/>
  </bookViews>
  <sheets>
    <sheet name="small ex" sheetId="18" r:id="rId1"/>
    <sheet name="Gordon Model" sheetId="20" r:id="rId2"/>
    <sheet name="Gordon again" sheetId="38" r:id="rId3"/>
    <sheet name="cal rE" sheetId="21" r:id="rId4"/>
    <sheet name="calc rD" sheetId="33" r:id="rId5"/>
    <sheet name="calc Tc" sheetId="25" r:id="rId6"/>
    <sheet name="calc WACC" sheetId="26" r:id="rId7"/>
    <sheet name="using WACC" sheetId="27" r:id="rId8"/>
  </sheets>
  <functionGroups builtInGroupCount="18"/>
  <calcPr calcId="152511" iterate="1"/>
</workbook>
</file>

<file path=xl/calcChain.xml><?xml version="1.0" encoding="utf-8"?>
<calcChain xmlns="http://schemas.openxmlformats.org/spreadsheetml/2006/main">
  <c r="B5" i="26" l="1"/>
  <c r="B2" i="26"/>
  <c r="B5" i="38" l="1"/>
  <c r="B6" i="26"/>
  <c r="B6" i="33"/>
  <c r="B3" i="26" s="1"/>
  <c r="B6" i="25"/>
  <c r="B12" i="26" s="1"/>
  <c r="B13" i="27"/>
  <c r="B5" i="21"/>
  <c r="B4" i="21"/>
  <c r="B3" i="21"/>
  <c r="B9" i="21" s="1"/>
  <c r="B10" i="21"/>
  <c r="C6" i="25"/>
  <c r="D6" i="25"/>
  <c r="B5" i="20"/>
  <c r="B5" i="18"/>
  <c r="B12" i="18" s="1"/>
  <c r="C14" i="21"/>
  <c r="C12" i="27"/>
  <c r="C5" i="18"/>
  <c r="C18" i="27"/>
  <c r="C9" i="21"/>
  <c r="C13" i="27"/>
  <c r="C12" i="18"/>
  <c r="C14" i="26"/>
  <c r="C10" i="21"/>
  <c r="C10" i="26"/>
  <c r="C5" i="20"/>
  <c r="C11" i="21"/>
  <c r="C7" i="26"/>
  <c r="C5" i="38"/>
  <c r="C6" i="33"/>
  <c r="C9" i="26"/>
  <c r="B11" i="21" l="1"/>
  <c r="B14" i="21" s="1"/>
  <c r="B17" i="27"/>
  <c r="B16" i="27"/>
  <c r="B18" i="27" s="1"/>
  <c r="B7" i="26"/>
  <c r="B9" i="26" s="1"/>
  <c r="B10" i="26" l="1"/>
  <c r="B14" i="26" l="1"/>
  <c r="B2" i="27" l="1"/>
  <c r="B12" i="27" s="1"/>
</calcChain>
</file>

<file path=xl/sharedStrings.xml><?xml version="1.0" encoding="utf-8"?>
<sst xmlns="http://schemas.openxmlformats.org/spreadsheetml/2006/main" count="66" uniqueCount="57">
  <si>
    <t>Year</t>
  </si>
  <si>
    <t>NPV</t>
  </si>
  <si>
    <t>IRR</t>
  </si>
  <si>
    <t>UNITED TRANSPORT--WACC</t>
  </si>
  <si>
    <t>Number of shares</t>
  </si>
  <si>
    <t>Market price per share</t>
  </si>
  <si>
    <t>E, market value of equity</t>
  </si>
  <si>
    <t>D, market value of debt</t>
  </si>
  <si>
    <r>
      <t>r</t>
    </r>
    <r>
      <rPr>
        <vertAlign val="subscript"/>
        <sz val="10"/>
        <rFont val="Arial"/>
        <family val="2"/>
      </rPr>
      <t>E</t>
    </r>
    <r>
      <rPr>
        <sz val="10"/>
        <rFont val="Arial"/>
        <family val="2"/>
      </rPr>
      <t>, cost of equity</t>
    </r>
  </si>
  <si>
    <r>
      <t>r</t>
    </r>
    <r>
      <rPr>
        <vertAlign val="subscript"/>
        <sz val="10"/>
        <rFont val="Arial"/>
        <family val="2"/>
      </rPr>
      <t>D</t>
    </r>
    <r>
      <rPr>
        <sz val="10"/>
        <rFont val="Arial"/>
        <family val="2"/>
      </rPr>
      <t>, cost of debt</t>
    </r>
  </si>
  <si>
    <r>
      <t>T</t>
    </r>
    <r>
      <rPr>
        <vertAlign val="subscript"/>
        <sz val="10"/>
        <rFont val="Arial"/>
        <family val="2"/>
      </rPr>
      <t>C</t>
    </r>
    <r>
      <rPr>
        <sz val="10"/>
        <rFont val="Arial"/>
        <family val="2"/>
      </rPr>
      <t>, firm's tax rate</t>
    </r>
  </si>
  <si>
    <r>
      <t>WACC, weighted average cost of capital:
WACC=r</t>
    </r>
    <r>
      <rPr>
        <vertAlign val="subscript"/>
        <sz val="10"/>
        <rFont val="Arial"/>
        <family val="2"/>
      </rPr>
      <t>E</t>
    </r>
    <r>
      <rPr>
        <sz val="10"/>
        <rFont val="Arial"/>
        <family val="2"/>
      </rPr>
      <t>*E/(E+D)+r</t>
    </r>
    <r>
      <rPr>
        <vertAlign val="subscript"/>
        <sz val="10"/>
        <rFont val="Arial"/>
        <family val="2"/>
      </rPr>
      <t>D</t>
    </r>
    <r>
      <rPr>
        <sz val="10"/>
        <rFont val="Arial"/>
        <family val="2"/>
      </rPr>
      <t>*(1-T</t>
    </r>
    <r>
      <rPr>
        <vertAlign val="subscript"/>
        <sz val="10"/>
        <rFont val="Arial"/>
        <family val="2"/>
      </rPr>
      <t>C</t>
    </r>
    <r>
      <rPr>
        <sz val="10"/>
        <rFont val="Arial"/>
        <family val="2"/>
      </rPr>
      <t>)*D/(E+D)</t>
    </r>
  </si>
  <si>
    <r>
      <t>Cost of equity, r</t>
    </r>
    <r>
      <rPr>
        <vertAlign val="subscript"/>
        <sz val="10"/>
        <rFont val="Arial"/>
        <family val="2"/>
      </rPr>
      <t>E</t>
    </r>
  </si>
  <si>
    <t>Anticipated dividend growth rate, g</t>
  </si>
  <si>
    <r>
      <t>USING THE GORDON MODEL TO
COMPUTE THE COST OF EQUITY r</t>
    </r>
    <r>
      <rPr>
        <b/>
        <vertAlign val="subscript"/>
        <sz val="14"/>
        <rFont val="Arial"/>
        <family val="2"/>
      </rPr>
      <t>E</t>
    </r>
  </si>
  <si>
    <r>
      <t>Current dividend, Div</t>
    </r>
    <r>
      <rPr>
        <vertAlign val="subscript"/>
        <sz val="10"/>
        <rFont val="Arial"/>
        <family val="2"/>
      </rPr>
      <t>0</t>
    </r>
  </si>
  <si>
    <r>
      <t>Current share price, P</t>
    </r>
    <r>
      <rPr>
        <vertAlign val="subscript"/>
        <sz val="10"/>
        <rFont val="Arial"/>
        <family val="2"/>
      </rPr>
      <t>0</t>
    </r>
  </si>
  <si>
    <r>
      <t>Gordon model cost of equity, r</t>
    </r>
    <r>
      <rPr>
        <vertAlign val="subscript"/>
        <sz val="10"/>
        <rFont val="Arial"/>
        <family val="2"/>
      </rPr>
      <t>E</t>
    </r>
  </si>
  <si>
    <t>Year ended
 30 Sept</t>
  </si>
  <si>
    <t>Dividend
per share</t>
  </si>
  <si>
    <r>
      <t>g</t>
    </r>
    <r>
      <rPr>
        <sz val="10"/>
        <rFont val="Arial"/>
        <family val="2"/>
      </rPr>
      <t>, growth rate of dividends</t>
    </r>
  </si>
  <si>
    <t>Year ending 30 September</t>
  </si>
  <si>
    <t>Income before taxes</t>
  </si>
  <si>
    <t>Provision for income taxes</t>
  </si>
  <si>
    <t>Average tax rate</t>
  </si>
  <si>
    <t>&lt;-- Computed from total equity payouts</t>
  </si>
  <si>
    <t>&lt;-- From Courier Corp. financial statements</t>
  </si>
  <si>
    <t>&lt;-- Number of shares times current share price</t>
  </si>
  <si>
    <t>Total:  Equity + Debt, E+D</t>
  </si>
  <si>
    <t>Percentage of equity, E/(E+D)</t>
  </si>
  <si>
    <t>Percentage of debt, D/(E+D)</t>
  </si>
  <si>
    <t>WACC</t>
  </si>
  <si>
    <r>
      <t>Cost of debt, r</t>
    </r>
    <r>
      <rPr>
        <vertAlign val="subscript"/>
        <sz val="10"/>
        <rFont val="Arial"/>
        <family val="2"/>
      </rPr>
      <t>D</t>
    </r>
  </si>
  <si>
    <r>
      <t>Tax rate, T</t>
    </r>
    <r>
      <rPr>
        <vertAlign val="subscript"/>
        <sz val="10"/>
        <rFont val="Arial"/>
        <family val="2"/>
      </rPr>
      <t>C</t>
    </r>
  </si>
  <si>
    <t>Cost of debt</t>
  </si>
  <si>
    <t>Courier tax rate</t>
  </si>
  <si>
    <t>After-tax cost of debt</t>
  </si>
  <si>
    <r>
      <t xml:space="preserve">COURIER CORPORATION (CRRC)
</t>
    </r>
    <r>
      <rPr>
        <b/>
        <sz val="12"/>
        <rFont val="Arial"/>
        <family val="2"/>
      </rPr>
      <t>Using the WACC as a discount rate</t>
    </r>
  </si>
  <si>
    <t>Note:  Courier's financial year closes 30 Sep; the dividends are</t>
  </si>
  <si>
    <t>given for the financial year.</t>
  </si>
  <si>
    <t>Note:  Dividends have been adjusted for 2 stock splits over period.</t>
  </si>
  <si>
    <t>Note C from Courier's 2002 financial statements</t>
  </si>
  <si>
    <r>
      <t xml:space="preserve">COURIER CORPORATION (CRRC)
</t>
    </r>
    <r>
      <rPr>
        <b/>
        <sz val="12"/>
        <rFont val="Arial"/>
        <family val="2"/>
      </rPr>
      <t>Calculating the WACC, Sept. 2002</t>
    </r>
  </si>
  <si>
    <t>Interest paid</t>
  </si>
  <si>
    <t>Total debt</t>
  </si>
  <si>
    <r>
      <t xml:space="preserve">Average interest rate, </t>
    </r>
    <r>
      <rPr>
        <i/>
        <sz val="10"/>
        <rFont val="Arial"/>
        <family val="2"/>
      </rPr>
      <t>r</t>
    </r>
    <r>
      <rPr>
        <i/>
        <vertAlign val="subscript"/>
        <sz val="10"/>
        <rFont val="Arial"/>
        <family val="2"/>
      </rPr>
      <t>D</t>
    </r>
  </si>
  <si>
    <t>Sept. 2002 equity value, E</t>
  </si>
  <si>
    <t>Sept. 2002 debt value, D</t>
  </si>
  <si>
    <r>
      <t>Div</t>
    </r>
    <r>
      <rPr>
        <vertAlign val="subscript"/>
        <sz val="10"/>
        <rFont val="Arial"/>
        <family val="2"/>
      </rPr>
      <t>0</t>
    </r>
    <r>
      <rPr>
        <sz val="10"/>
        <rFont val="Arial"/>
        <family val="2"/>
      </rPr>
      <t>, current dividend</t>
    </r>
  </si>
  <si>
    <r>
      <t>Div</t>
    </r>
    <r>
      <rPr>
        <vertAlign val="subscript"/>
        <sz val="10"/>
        <rFont val="Arial"/>
        <family val="2"/>
      </rPr>
      <t>0</t>
    </r>
    <r>
      <rPr>
        <sz val="10"/>
        <rFont val="Arial"/>
        <family val="2"/>
      </rPr>
      <t>*(1+g)</t>
    </r>
    <r>
      <rPr>
        <sz val="10"/>
        <rFont val="Arial"/>
        <family val="2"/>
      </rPr>
      <t>, dividend anticipated in 2003</t>
    </r>
  </si>
  <si>
    <r>
      <t>P</t>
    </r>
    <r>
      <rPr>
        <vertAlign val="subscript"/>
        <sz val="10"/>
        <rFont val="Arial"/>
        <family val="2"/>
      </rPr>
      <t>0</t>
    </r>
    <r>
      <rPr>
        <sz val="10"/>
        <rFont val="Arial"/>
        <family val="2"/>
      </rPr>
      <t>, stock price, 30 Sept. 2002</t>
    </r>
  </si>
  <si>
    <r>
      <t>r</t>
    </r>
    <r>
      <rPr>
        <vertAlign val="subscript"/>
        <sz val="10"/>
        <rFont val="Arial"/>
        <family val="2"/>
      </rPr>
      <t>E</t>
    </r>
    <r>
      <rPr>
        <sz val="10"/>
        <rFont val="Arial"/>
        <family val="2"/>
      </rPr>
      <t>, Gordon dividend model cost of equity</t>
    </r>
  </si>
  <si>
    <r>
      <t xml:space="preserve">COURIER CORPORATION (CRRC)
</t>
    </r>
    <r>
      <rPr>
        <b/>
        <sz val="12"/>
        <rFont val="Arial"/>
        <family val="2"/>
      </rPr>
      <t>Calculation of cost of equity using Gordon model</t>
    </r>
  </si>
  <si>
    <r>
      <t xml:space="preserve">COURIER CORPORATION (CRRC)
</t>
    </r>
    <r>
      <rPr>
        <b/>
        <sz val="12"/>
        <rFont val="Arial"/>
        <family val="2"/>
      </rPr>
      <t>Analysis of interest paid</t>
    </r>
  </si>
  <si>
    <r>
      <t xml:space="preserve">COURIER CORPORATION (CRRC)
</t>
    </r>
    <r>
      <rPr>
        <b/>
        <sz val="12"/>
        <rFont val="Arial"/>
        <family val="2"/>
      </rPr>
      <t>Analysis of taxes paid</t>
    </r>
  </si>
  <si>
    <t>Cash flows</t>
  </si>
  <si>
    <t>Extreme case:  Cash flow riskiness same as Courier debt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</si>
</sst>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6" formatCode="&quot;$&quot;#,##0_);[Red]\(&quot;$&quot;#,##0\)"/>
    <numFmt numFmtId="43" formatCode="_(* #,##0.00_);_(* \(#,##0.00\);_(* &quot;-&quot;??_);_(@_)"/>
    <numFmt numFmtId="164" formatCode="0.0000"/>
    <numFmt numFmtId="166" formatCode="dd\-mmm\-yy"/>
  </numFmts>
  <fonts count="11" x14ac:knownFonts="1">
    <font>
      <sz val="10"/>
      <name val="Arial"/>
    </font>
    <font>
      <sz val="10"/>
      <name val="Arial"/>
      <family val="2"/>
    </font>
    <font>
      <b/>
      <sz val="14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b/>
      <sz val="12"/>
      <name val="Arial"/>
      <family val="2"/>
    </font>
    <font>
      <i/>
      <sz val="10"/>
      <name val="Arial"/>
      <family val="2"/>
    </font>
    <font>
      <i/>
      <vertAlign val="subscript"/>
      <sz val="10"/>
      <name val="Arial"/>
      <family val="2"/>
    </font>
    <font>
      <sz val="8"/>
      <name val="Arial"/>
      <family val="2"/>
    </font>
    <font>
      <vertAlign val="subscript"/>
      <sz val="10"/>
      <name val="Arial"/>
      <family val="2"/>
    </font>
    <font>
      <b/>
      <vertAlign val="subscript"/>
      <sz val="14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36">
    <xf numFmtId="0" fontId="0" fillId="0" borderId="0" xfId="0"/>
    <xf numFmtId="3" fontId="0" fillId="0" borderId="0" xfId="0" applyNumberFormat="1"/>
    <xf numFmtId="9" fontId="0" fillId="0" borderId="0" xfId="0" applyNumberFormat="1"/>
    <xf numFmtId="0" fontId="3" fillId="0" borderId="0" xfId="0" applyFont="1" applyAlignment="1">
      <alignment horizontal="center"/>
    </xf>
    <xf numFmtId="0" fontId="3" fillId="0" borderId="0" xfId="0" applyFont="1" applyAlignment="1">
      <alignment horizontal="center" wrapText="1"/>
    </xf>
    <xf numFmtId="0" fontId="0" fillId="0" borderId="0" xfId="0" applyAlignment="1">
      <alignment horizontal="center"/>
    </xf>
    <xf numFmtId="10" fontId="0" fillId="0" borderId="0" xfId="0" applyNumberFormat="1"/>
    <xf numFmtId="0" fontId="3" fillId="0" borderId="0" xfId="0" applyFont="1"/>
    <xf numFmtId="0" fontId="0" fillId="2" borderId="0" xfId="0" applyFill="1"/>
    <xf numFmtId="10" fontId="1" fillId="0" borderId="0" xfId="2" applyNumberFormat="1"/>
    <xf numFmtId="10" fontId="1" fillId="2" borderId="0" xfId="2" applyNumberFormat="1" applyFill="1"/>
    <xf numFmtId="3" fontId="0" fillId="0" borderId="0" xfId="0" applyNumberFormat="1" applyAlignment="1">
      <alignment horizontal="right"/>
    </xf>
    <xf numFmtId="10" fontId="0" fillId="2" borderId="0" xfId="0" applyNumberFormat="1" applyFill="1"/>
    <xf numFmtId="2" fontId="0" fillId="0" borderId="0" xfId="0" applyNumberFormat="1"/>
    <xf numFmtId="0" fontId="2" fillId="0" borderId="0" xfId="0" applyFont="1" applyAlignment="1">
      <alignment horizontal="center" wrapText="1"/>
    </xf>
    <xf numFmtId="0" fontId="0" fillId="2" borderId="0" xfId="0" applyFill="1" applyAlignment="1">
      <alignment horizontal="left" vertical="center" wrapText="1"/>
    </xf>
    <xf numFmtId="166" fontId="2" fillId="0" borderId="0" xfId="0" applyNumberFormat="1" applyFont="1" applyAlignment="1">
      <alignment horizontal="center"/>
    </xf>
    <xf numFmtId="166" fontId="2" fillId="0" borderId="0" xfId="0" applyNumberFormat="1" applyFont="1" applyAlignment="1"/>
    <xf numFmtId="166" fontId="3" fillId="0" borderId="0" xfId="0" applyNumberFormat="1" applyFont="1" applyAlignment="1">
      <alignment horizontal="center" wrapText="1"/>
    </xf>
    <xf numFmtId="0" fontId="0" fillId="0" borderId="0" xfId="0" applyNumberFormat="1" applyAlignment="1">
      <alignment horizontal="center"/>
    </xf>
    <xf numFmtId="166" fontId="0" fillId="0" borderId="0" xfId="0" applyNumberFormat="1"/>
    <xf numFmtId="166" fontId="6" fillId="0" borderId="0" xfId="0" applyNumberFormat="1" applyFont="1"/>
    <xf numFmtId="166" fontId="2" fillId="0" borderId="0" xfId="0" applyNumberFormat="1" applyFont="1" applyAlignment="1">
      <alignment wrapText="1"/>
    </xf>
    <xf numFmtId="6" fontId="0" fillId="0" borderId="0" xfId="0" applyNumberFormat="1"/>
    <xf numFmtId="0" fontId="4" fillId="0" borderId="0" xfId="0" applyFont="1"/>
    <xf numFmtId="3" fontId="1" fillId="2" borderId="0" xfId="1" applyNumberFormat="1" applyFill="1"/>
    <xf numFmtId="9" fontId="0" fillId="2" borderId="0" xfId="0" applyNumberFormat="1" applyFill="1"/>
    <xf numFmtId="164" fontId="0" fillId="0" borderId="0" xfId="0" applyNumberFormat="1"/>
    <xf numFmtId="0" fontId="4" fillId="0" borderId="0" xfId="0" applyFont="1" applyAlignment="1">
      <alignment wrapText="1"/>
    </xf>
    <xf numFmtId="0" fontId="4" fillId="2" borderId="0" xfId="0" applyFont="1" applyFill="1"/>
    <xf numFmtId="0" fontId="2" fillId="0" borderId="0" xfId="0" applyFont="1" applyAlignment="1">
      <alignment horizontal="center"/>
    </xf>
    <xf numFmtId="0" fontId="2" fillId="0" borderId="0" xfId="0" applyFont="1" applyAlignment="1">
      <alignment horizontal="center" wrapText="1"/>
    </xf>
    <xf numFmtId="166" fontId="2" fillId="0" borderId="0" xfId="0" applyNumberFormat="1" applyFont="1" applyAlignment="1">
      <alignment horizontal="center" vertical="center" wrapText="1"/>
    </xf>
    <xf numFmtId="166" fontId="2" fillId="0" borderId="0" xfId="0" applyNumberFormat="1" applyFont="1" applyAlignment="1">
      <alignment horizontal="center" vertical="center"/>
    </xf>
    <xf numFmtId="166" fontId="2" fillId="0" borderId="0" xfId="0" applyNumberFormat="1" applyFont="1" applyAlignment="1">
      <alignment horizontal="center" wrapText="1"/>
    </xf>
    <xf numFmtId="166" fontId="2" fillId="0" borderId="0" xfId="0" applyNumberFormat="1" applyFont="1" applyAlignment="1">
      <alignment horizontal="center"/>
    </xf>
  </cellXfs>
  <cellStyles count="3">
    <cellStyle name="Comma_pfe_chap06" xfId="1"/>
    <cellStyle name="Normal" xfId="0" builtinId="0"/>
    <cellStyle name="Percent" xfId="2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123825</xdr:colOff>
      <xdr:row>9</xdr:row>
      <xdr:rowOff>85725</xdr:rowOff>
    </xdr:from>
    <xdr:to>
      <xdr:col>6</xdr:col>
      <xdr:colOff>590550</xdr:colOff>
      <xdr:row>25</xdr:row>
      <xdr:rowOff>76200</xdr:rowOff>
    </xdr:to>
    <xdr:pic>
      <xdr:nvPicPr>
        <xdr:cNvPr id="6146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23825" y="1866900"/>
          <a:ext cx="5495925" cy="2581275"/>
        </a:xfrm>
        <a:prstGeom prst="rect">
          <a:avLst/>
        </a:prstGeom>
        <a:noFill/>
        <a:ln w="1">
          <a:noFill/>
          <a:miter lim="800000"/>
          <a:headEnd/>
          <a:tailEnd/>
        </a:ln>
        <a:effectLst/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C12"/>
  <sheetViews>
    <sheetView workbookViewId="0">
      <selection sqref="A1:C1"/>
    </sheetView>
  </sheetViews>
  <sheetFormatPr defaultRowHeight="12.75" x14ac:dyDescent="0.2"/>
  <cols>
    <col min="1" max="1" width="35.28515625" customWidth="1"/>
    <col min="2" max="2" width="11.140625" bestFit="1" customWidth="1"/>
    <col min="3" max="3" width="40.28515625" bestFit="1" customWidth="1"/>
  </cols>
  <sheetData>
    <row r="1" spans="1:3" ht="18" x14ac:dyDescent="0.25">
      <c r="A1" s="30" t="s">
        <v>3</v>
      </c>
      <c r="B1" s="30"/>
      <c r="C1" s="30"/>
    </row>
    <row r="2" spans="1:3" x14ac:dyDescent="0.2">
      <c r="A2" t="s">
        <v>4</v>
      </c>
      <c r="B2" s="1">
        <v>3000000</v>
      </c>
    </row>
    <row r="3" spans="1:3" x14ac:dyDescent="0.2">
      <c r="A3" t="s">
        <v>5</v>
      </c>
      <c r="B3" s="1">
        <v>10</v>
      </c>
    </row>
    <row r="4" spans="1:3" x14ac:dyDescent="0.2">
      <c r="B4" s="1"/>
    </row>
    <row r="5" spans="1:3" x14ac:dyDescent="0.2">
      <c r="A5" t="s">
        <v>6</v>
      </c>
      <c r="B5" s="1">
        <f>B3*B2</f>
        <v>30000000</v>
      </c>
      <c r="C5" t="str">
        <f ca="1">getformula(B5)</f>
        <v>&lt;-- =B3*B2</v>
      </c>
    </row>
    <row r="6" spans="1:3" x14ac:dyDescent="0.2">
      <c r="A6" t="s">
        <v>7</v>
      </c>
      <c r="B6" s="1">
        <v>10000000</v>
      </c>
    </row>
    <row r="7" spans="1:3" x14ac:dyDescent="0.2">
      <c r="B7" s="1"/>
    </row>
    <row r="8" spans="1:3" ht="15.75" x14ac:dyDescent="0.3">
      <c r="A8" t="s">
        <v>8</v>
      </c>
      <c r="B8" s="2">
        <v>0.2</v>
      </c>
    </row>
    <row r="9" spans="1:3" ht="15.75" x14ac:dyDescent="0.3">
      <c r="A9" t="s">
        <v>9</v>
      </c>
      <c r="B9" s="2">
        <v>0.08</v>
      </c>
    </row>
    <row r="10" spans="1:3" ht="15.75" x14ac:dyDescent="0.3">
      <c r="A10" t="s">
        <v>10</v>
      </c>
      <c r="B10" s="2">
        <v>0.4</v>
      </c>
    </row>
    <row r="12" spans="1:3" ht="33" customHeight="1" x14ac:dyDescent="0.2">
      <c r="A12" s="15" t="s">
        <v>11</v>
      </c>
      <c r="B12" s="10">
        <f>B8*B5/(B5+B6)+B9*(1-B10)*B6/(B5+B6)</f>
        <v>0.16200000000000001</v>
      </c>
      <c r="C12" t="str">
        <f ca="1">getformula(B12)</f>
        <v>&lt;-- =B8*B5/(B5+B6)+B9*(1-B10)*B6/(B5+B6)</v>
      </c>
    </row>
  </sheetData>
  <mergeCells count="1">
    <mergeCell ref="A1:C1"/>
  </mergeCells>
  <phoneticPr fontId="8" type="noConversion"/>
  <printOptions headings="1" gridLines="1"/>
  <pageMargins left="0.75" right="0.75" top="1" bottom="1" header="0.5" footer="0.5"/>
  <pageSetup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D5"/>
  <sheetViews>
    <sheetView workbookViewId="0">
      <selection sqref="A1:C1"/>
    </sheetView>
  </sheetViews>
  <sheetFormatPr defaultRowHeight="12.75" x14ac:dyDescent="0.2"/>
  <cols>
    <col min="1" max="1" width="36.140625" customWidth="1"/>
    <col min="2" max="2" width="10.140625" bestFit="1" customWidth="1"/>
    <col min="3" max="3" width="46.5703125" bestFit="1" customWidth="1"/>
  </cols>
  <sheetData>
    <row r="1" spans="1:4" ht="42" customHeight="1" x14ac:dyDescent="0.35">
      <c r="A1" s="31" t="s">
        <v>14</v>
      </c>
      <c r="B1" s="31"/>
      <c r="C1" s="31"/>
      <c r="D1" s="14"/>
    </row>
    <row r="2" spans="1:4" ht="15.75" x14ac:dyDescent="0.3">
      <c r="A2" t="s">
        <v>15</v>
      </c>
      <c r="B2" s="13">
        <v>3</v>
      </c>
    </row>
    <row r="3" spans="1:4" ht="15.75" x14ac:dyDescent="0.3">
      <c r="A3" t="s">
        <v>16</v>
      </c>
      <c r="B3" s="13">
        <v>25</v>
      </c>
    </row>
    <row r="4" spans="1:4" x14ac:dyDescent="0.2">
      <c r="A4" s="8" t="s">
        <v>13</v>
      </c>
      <c r="B4" s="26">
        <v>0.08</v>
      </c>
    </row>
    <row r="5" spans="1:4" ht="15.75" x14ac:dyDescent="0.3">
      <c r="A5" t="s">
        <v>17</v>
      </c>
      <c r="B5" s="6">
        <f>B2*(1+B4)/B3+B4</f>
        <v>0.20960000000000001</v>
      </c>
      <c r="C5" t="str">
        <f ca="1">getformula(B5)</f>
        <v>&lt;-- =B2*(1+B4)/B3+B4</v>
      </c>
    </row>
  </sheetData>
  <mergeCells count="1">
    <mergeCell ref="A1:C1"/>
  </mergeCells>
  <phoneticPr fontId="8" type="noConversion"/>
  <printOptions headings="1" gridLines="1"/>
  <pageMargins left="0.75" right="0.75" top="1" bottom="1" header="0.5" footer="0.5"/>
  <pageSetup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D5"/>
  <sheetViews>
    <sheetView workbookViewId="0">
      <selection sqref="A1:C1"/>
    </sheetView>
  </sheetViews>
  <sheetFormatPr defaultRowHeight="12.75" x14ac:dyDescent="0.2"/>
  <cols>
    <col min="1" max="1" width="36.140625" customWidth="1"/>
    <col min="2" max="2" width="10.140625" bestFit="1" customWidth="1"/>
    <col min="3" max="3" width="46.5703125" bestFit="1" customWidth="1"/>
  </cols>
  <sheetData>
    <row r="1" spans="1:4" ht="42" customHeight="1" x14ac:dyDescent="0.35">
      <c r="A1" s="31" t="s">
        <v>14</v>
      </c>
      <c r="B1" s="31"/>
      <c r="C1" s="31"/>
      <c r="D1" s="14"/>
    </row>
    <row r="2" spans="1:4" ht="15.75" x14ac:dyDescent="0.3">
      <c r="A2" t="s">
        <v>15</v>
      </c>
      <c r="B2" s="13">
        <v>3</v>
      </c>
    </row>
    <row r="3" spans="1:4" ht="15.75" x14ac:dyDescent="0.3">
      <c r="A3" t="s">
        <v>16</v>
      </c>
      <c r="B3" s="13">
        <v>25</v>
      </c>
    </row>
    <row r="4" spans="1:4" x14ac:dyDescent="0.2">
      <c r="A4" s="8" t="s">
        <v>13</v>
      </c>
      <c r="B4" s="26">
        <v>0.05</v>
      </c>
    </row>
    <row r="5" spans="1:4" ht="15.75" x14ac:dyDescent="0.3">
      <c r="A5" t="s">
        <v>17</v>
      </c>
      <c r="B5" s="6">
        <f>B2*(1+B4)/B3+B4</f>
        <v>0.17599999999999999</v>
      </c>
      <c r="C5" t="str">
        <f ca="1">getformula(B5)</f>
        <v>&lt;-- =B2*(1+B4)/B3+B4</v>
      </c>
    </row>
  </sheetData>
  <mergeCells count="1">
    <mergeCell ref="A1:C1"/>
  </mergeCells>
  <phoneticPr fontId="8" type="noConversion"/>
  <printOptions headings="1" gridLines="1"/>
  <pageMargins left="0.75" right="0.75" top="1" bottom="1" header="0.5" footer="0.5"/>
  <pageSetup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E21"/>
  <sheetViews>
    <sheetView workbookViewId="0">
      <selection activeCell="A26" sqref="A26"/>
    </sheetView>
  </sheetViews>
  <sheetFormatPr defaultRowHeight="12.75" x14ac:dyDescent="0.2"/>
  <cols>
    <col min="1" max="1" width="34.7109375" customWidth="1"/>
    <col min="2" max="2" width="14.7109375" customWidth="1"/>
    <col min="3" max="3" width="18.7109375" customWidth="1"/>
    <col min="4" max="4" width="21.85546875" bestFit="1" customWidth="1"/>
    <col min="5" max="5" width="12" customWidth="1"/>
  </cols>
  <sheetData>
    <row r="1" spans="1:5" ht="34.9" customHeight="1" x14ac:dyDescent="0.25">
      <c r="A1" s="32" t="s">
        <v>52</v>
      </c>
      <c r="B1" s="33"/>
      <c r="C1" s="33"/>
      <c r="D1" s="17"/>
      <c r="E1" s="16"/>
    </row>
    <row r="2" spans="1:5" ht="25.5" x14ac:dyDescent="0.2">
      <c r="A2" s="18" t="s">
        <v>18</v>
      </c>
      <c r="B2" s="4" t="s">
        <v>19</v>
      </c>
      <c r="C2" s="4"/>
      <c r="D2" s="4"/>
      <c r="E2" s="4"/>
    </row>
    <row r="3" spans="1:5" x14ac:dyDescent="0.2">
      <c r="A3" s="19">
        <v>1998</v>
      </c>
      <c r="B3" s="27">
        <f>0.1*2/3+0.42*2/3*2/3</f>
        <v>0.2533333333333333</v>
      </c>
      <c r="C3" s="9"/>
      <c r="D3" s="1"/>
      <c r="E3" s="1"/>
    </row>
    <row r="4" spans="1:5" x14ac:dyDescent="0.2">
      <c r="A4" s="19">
        <v>1999</v>
      </c>
      <c r="B4" s="27">
        <f>0.4*2/3</f>
        <v>0.26666666666666666</v>
      </c>
      <c r="C4" s="9"/>
      <c r="D4" s="1"/>
      <c r="E4" s="1"/>
    </row>
    <row r="5" spans="1:5" x14ac:dyDescent="0.2">
      <c r="A5" s="19">
        <v>2000</v>
      </c>
      <c r="B5" s="27">
        <f>0.48*2/3</f>
        <v>0.32</v>
      </c>
      <c r="C5" s="9"/>
      <c r="E5" s="1"/>
    </row>
    <row r="6" spans="1:5" x14ac:dyDescent="0.2">
      <c r="A6" s="19">
        <v>2001</v>
      </c>
      <c r="B6" s="27">
        <v>0.37</v>
      </c>
      <c r="C6" s="9"/>
      <c r="D6" s="1"/>
      <c r="E6" s="1"/>
    </row>
    <row r="7" spans="1:5" x14ac:dyDescent="0.2">
      <c r="A7" s="19">
        <v>2002</v>
      </c>
      <c r="B7" s="27">
        <v>0.4</v>
      </c>
      <c r="C7" s="9"/>
      <c r="D7" s="1"/>
      <c r="E7" s="1"/>
    </row>
    <row r="8" spans="1:5" x14ac:dyDescent="0.2">
      <c r="A8" s="20"/>
    </row>
    <row r="9" spans="1:5" x14ac:dyDescent="0.2">
      <c r="A9" s="21" t="s">
        <v>20</v>
      </c>
      <c r="B9" s="9">
        <f>(B7/B3)^(1/4)-1</f>
        <v>0.12096464033219467</v>
      </c>
      <c r="C9" s="9" t="str">
        <f ca="1">getformula(B9)</f>
        <v>&lt;-- =(B7/B3)^(1/4)-1</v>
      </c>
      <c r="E9" s="6"/>
    </row>
    <row r="10" spans="1:5" ht="15.75" x14ac:dyDescent="0.3">
      <c r="A10" s="24" t="s">
        <v>48</v>
      </c>
      <c r="B10" s="13">
        <f>B7</f>
        <v>0.4</v>
      </c>
      <c r="C10" s="9" t="str">
        <f ca="1">getformula(B10)</f>
        <v>&lt;-- =B7</v>
      </c>
    </row>
    <row r="11" spans="1:5" ht="15.75" x14ac:dyDescent="0.3">
      <c r="A11" s="24" t="s">
        <v>49</v>
      </c>
      <c r="B11" s="13">
        <f>B10*(1+B9)</f>
        <v>0.4483858561328779</v>
      </c>
      <c r="C11" s="9" t="str">
        <f ca="1">getformula(B11)</f>
        <v>&lt;-- =B10*(1+B9)</v>
      </c>
    </row>
    <row r="12" spans="1:5" ht="15.75" x14ac:dyDescent="0.3">
      <c r="A12" s="28" t="s">
        <v>50</v>
      </c>
      <c r="B12">
        <v>37.99</v>
      </c>
      <c r="C12" s="9"/>
    </row>
    <row r="14" spans="1:5" ht="15.75" x14ac:dyDescent="0.3">
      <c r="A14" s="29" t="s">
        <v>51</v>
      </c>
      <c r="B14" s="10">
        <f>B11/B12+B9</f>
        <v>0.13276737410773765</v>
      </c>
      <c r="C14" t="str">
        <f ca="1">getformula(B14)</f>
        <v>&lt;-- =B11/B12+B9</v>
      </c>
    </row>
    <row r="19" spans="1:1" x14ac:dyDescent="0.2">
      <c r="A19" t="s">
        <v>38</v>
      </c>
    </row>
    <row r="20" spans="1:1" x14ac:dyDescent="0.2">
      <c r="A20" t="s">
        <v>39</v>
      </c>
    </row>
    <row r="21" spans="1:1" x14ac:dyDescent="0.2">
      <c r="A21" t="s">
        <v>40</v>
      </c>
    </row>
  </sheetData>
  <mergeCells count="1">
    <mergeCell ref="A1:C1"/>
  </mergeCells>
  <phoneticPr fontId="0" type="noConversion"/>
  <printOptions headings="1" gridLines="1"/>
  <pageMargins left="0.75" right="0.75" top="1" bottom="1" header="0.5" footer="0.5"/>
  <pageSetup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6"/>
  <sheetViews>
    <sheetView workbookViewId="0">
      <selection sqref="A1:D1"/>
    </sheetView>
  </sheetViews>
  <sheetFormatPr defaultRowHeight="12.75" x14ac:dyDescent="0.2"/>
  <cols>
    <col min="1" max="1" width="25" customWidth="1"/>
    <col min="2" max="3" width="10.7109375" customWidth="1"/>
    <col min="4" max="4" width="13.140625" customWidth="1"/>
    <col min="7" max="9" width="11.7109375" bestFit="1" customWidth="1"/>
  </cols>
  <sheetData>
    <row r="1" spans="1:9" ht="34.9" customHeight="1" x14ac:dyDescent="0.25">
      <c r="A1" s="32" t="s">
        <v>53</v>
      </c>
      <c r="B1" s="32"/>
      <c r="C1" s="32"/>
      <c r="D1" s="32"/>
      <c r="E1" s="22"/>
    </row>
    <row r="2" spans="1:9" s="7" customFormat="1" x14ac:dyDescent="0.2">
      <c r="A2" s="7" t="s">
        <v>21</v>
      </c>
      <c r="B2" s="3">
        <v>2002</v>
      </c>
      <c r="C2" s="3">
        <v>2001</v>
      </c>
      <c r="D2" s="3"/>
    </row>
    <row r="3" spans="1:9" x14ac:dyDescent="0.2">
      <c r="A3" t="s">
        <v>44</v>
      </c>
      <c r="B3" s="1">
        <v>752000</v>
      </c>
      <c r="C3" s="1">
        <v>16577000</v>
      </c>
      <c r="D3" s="1"/>
    </row>
    <row r="4" spans="1:9" x14ac:dyDescent="0.2">
      <c r="A4" t="s">
        <v>43</v>
      </c>
      <c r="B4" s="1">
        <v>480000</v>
      </c>
      <c r="C4" s="1"/>
      <c r="D4" s="1"/>
      <c r="G4" s="23"/>
      <c r="H4" s="23"/>
      <c r="I4" s="23"/>
    </row>
    <row r="5" spans="1:9" x14ac:dyDescent="0.2">
      <c r="G5" s="23"/>
      <c r="H5" s="23"/>
      <c r="I5" s="23"/>
    </row>
    <row r="6" spans="1:9" ht="15.75" x14ac:dyDescent="0.3">
      <c r="A6" t="s">
        <v>45</v>
      </c>
      <c r="B6" s="9">
        <f>B4/AVERAGE(B3:C3)</f>
        <v>5.53984650008656E-2</v>
      </c>
      <c r="C6" s="9" t="str">
        <f ca="1">getformula(B6)</f>
        <v>&lt;-- =B4/AVERAGE(B3:C3)</v>
      </c>
      <c r="D6" s="9"/>
    </row>
  </sheetData>
  <mergeCells count="1">
    <mergeCell ref="A1:D1"/>
  </mergeCells>
  <phoneticPr fontId="8" type="noConversion"/>
  <printOptions headings="1" gridLines="1"/>
  <pageMargins left="0.75" right="0.75" top="1" bottom="1" header="0.5" footer="0.5"/>
  <pageSetup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I9"/>
  <sheetViews>
    <sheetView workbookViewId="0">
      <selection sqref="A1:D1"/>
    </sheetView>
  </sheetViews>
  <sheetFormatPr defaultRowHeight="12.75" x14ac:dyDescent="0.2"/>
  <cols>
    <col min="1" max="1" width="25" customWidth="1"/>
    <col min="2" max="4" width="10.7109375" customWidth="1"/>
    <col min="7" max="9" width="11.7109375" bestFit="1" customWidth="1"/>
  </cols>
  <sheetData>
    <row r="1" spans="1:9" ht="38.450000000000003" customHeight="1" x14ac:dyDescent="0.25">
      <c r="A1" s="32" t="s">
        <v>54</v>
      </c>
      <c r="B1" s="32"/>
      <c r="C1" s="32"/>
      <c r="D1" s="32"/>
      <c r="E1" s="22"/>
    </row>
    <row r="2" spans="1:9" s="7" customFormat="1" x14ac:dyDescent="0.2">
      <c r="A2" s="7" t="s">
        <v>21</v>
      </c>
      <c r="B2" s="3">
        <v>2002</v>
      </c>
      <c r="C2" s="3">
        <v>2001</v>
      </c>
      <c r="D2" s="3">
        <v>2000</v>
      </c>
    </row>
    <row r="3" spans="1:9" x14ac:dyDescent="0.2">
      <c r="A3" t="s">
        <v>22</v>
      </c>
      <c r="B3" s="1">
        <v>24111000</v>
      </c>
      <c r="C3" s="1">
        <v>20034000</v>
      </c>
      <c r="D3" s="1">
        <v>15886000</v>
      </c>
    </row>
    <row r="4" spans="1:9" x14ac:dyDescent="0.2">
      <c r="A4" t="s">
        <v>23</v>
      </c>
      <c r="B4" s="1">
        <v>7936000</v>
      </c>
      <c r="C4" s="1">
        <v>6817000</v>
      </c>
      <c r="D4" s="1">
        <v>5249000</v>
      </c>
      <c r="G4" s="23"/>
      <c r="H4" s="23"/>
      <c r="I4" s="23"/>
    </row>
    <row r="5" spans="1:9" x14ac:dyDescent="0.2">
      <c r="G5" s="23"/>
      <c r="H5" s="23"/>
      <c r="I5" s="23"/>
    </row>
    <row r="6" spans="1:9" x14ac:dyDescent="0.2">
      <c r="A6" t="s">
        <v>24</v>
      </c>
      <c r="B6" s="9">
        <f>B4/B3</f>
        <v>0.32914437393720708</v>
      </c>
      <c r="C6" s="9">
        <f>C4/C3</f>
        <v>0.34027153838474594</v>
      </c>
      <c r="D6" s="9">
        <f>D4/D3</f>
        <v>0.33041671912375675</v>
      </c>
    </row>
    <row r="9" spans="1:9" x14ac:dyDescent="0.2">
      <c r="A9" s="7" t="s">
        <v>41</v>
      </c>
    </row>
  </sheetData>
  <mergeCells count="1">
    <mergeCell ref="A1:D1"/>
  </mergeCells>
  <phoneticPr fontId="0" type="noConversion"/>
  <printOptions headings="1" gridLines="1"/>
  <pageMargins left="0.75" right="0.75" top="1" bottom="1" header="0.5" footer="0.5"/>
  <pageSetup orientation="portrait" r:id="rId1"/>
  <headerFooter alignWithMargins="0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E14"/>
  <sheetViews>
    <sheetView workbookViewId="0">
      <selection activeCell="B6" sqref="B6"/>
    </sheetView>
  </sheetViews>
  <sheetFormatPr defaultRowHeight="12.75" x14ac:dyDescent="0.2"/>
  <cols>
    <col min="1" max="1" width="29.85546875" customWidth="1"/>
    <col min="2" max="2" width="14.7109375" customWidth="1"/>
    <col min="3" max="3" width="39.85546875" customWidth="1"/>
    <col min="4" max="4" width="11.7109375" customWidth="1"/>
    <col min="5" max="5" width="12" customWidth="1"/>
    <col min="6" max="6" width="18.5703125" bestFit="1" customWidth="1"/>
  </cols>
  <sheetData>
    <row r="1" spans="1:5" ht="41.25" customHeight="1" x14ac:dyDescent="0.25">
      <c r="A1" s="34" t="s">
        <v>42</v>
      </c>
      <c r="B1" s="35"/>
      <c r="C1" s="35"/>
      <c r="D1" s="16"/>
      <c r="E1" s="16"/>
    </row>
    <row r="2" spans="1:5" ht="15.75" x14ac:dyDescent="0.3">
      <c r="A2" t="s">
        <v>12</v>
      </c>
      <c r="B2" s="6">
        <f>'cal rE'!B14</f>
        <v>0.13276737410773765</v>
      </c>
      <c r="C2" t="s">
        <v>25</v>
      </c>
    </row>
    <row r="3" spans="1:5" ht="15.75" x14ac:dyDescent="0.3">
      <c r="A3" t="s">
        <v>32</v>
      </c>
      <c r="B3" s="6">
        <f>'calc rD'!B6</f>
        <v>5.53984650008656E-2</v>
      </c>
      <c r="C3" t="s">
        <v>26</v>
      </c>
    </row>
    <row r="5" spans="1:5" x14ac:dyDescent="0.2">
      <c r="A5" t="s">
        <v>46</v>
      </c>
      <c r="B5" s="1">
        <f>37.99*5215000</f>
        <v>198117850</v>
      </c>
      <c r="C5" t="s">
        <v>27</v>
      </c>
    </row>
    <row r="6" spans="1:5" x14ac:dyDescent="0.2">
      <c r="A6" t="s">
        <v>47</v>
      </c>
      <c r="B6" s="1">
        <f>'calc rD'!B3</f>
        <v>752000</v>
      </c>
      <c r="C6" t="s">
        <v>26</v>
      </c>
    </row>
    <row r="7" spans="1:5" x14ac:dyDescent="0.2">
      <c r="A7" t="s">
        <v>28</v>
      </c>
      <c r="B7" s="1">
        <f>SUM(B5:B6)</f>
        <v>198869850</v>
      </c>
      <c r="C7" t="str">
        <f ca="1">getformula(B7)</f>
        <v>&lt;-- =SUM(B5:B6)</v>
      </c>
    </row>
    <row r="8" spans="1:5" x14ac:dyDescent="0.2">
      <c r="B8" s="1"/>
    </row>
    <row r="9" spans="1:5" x14ac:dyDescent="0.2">
      <c r="A9" t="s">
        <v>29</v>
      </c>
      <c r="B9" s="9">
        <f>B5/B7</f>
        <v>0.99621863243724473</v>
      </c>
      <c r="C9" t="str">
        <f ca="1">getformula(B9)</f>
        <v>&lt;-- =B5/B7</v>
      </c>
    </row>
    <row r="10" spans="1:5" x14ac:dyDescent="0.2">
      <c r="A10" t="s">
        <v>30</v>
      </c>
      <c r="B10" s="9">
        <f>B6/B7</f>
        <v>3.781367562755239E-3</v>
      </c>
      <c r="C10" t="str">
        <f ca="1">getformula(B10)</f>
        <v>&lt;-- =B6/B7</v>
      </c>
    </row>
    <row r="11" spans="1:5" x14ac:dyDescent="0.2">
      <c r="B11" s="1"/>
    </row>
    <row r="12" spans="1:5" ht="15.75" x14ac:dyDescent="0.3">
      <c r="A12" t="s">
        <v>33</v>
      </c>
      <c r="B12" s="6">
        <f>'calc Tc'!B6</f>
        <v>0.32914437393720708</v>
      </c>
      <c r="C12" t="s">
        <v>26</v>
      </c>
    </row>
    <row r="14" spans="1:5" x14ac:dyDescent="0.2">
      <c r="A14" s="8" t="s">
        <v>31</v>
      </c>
      <c r="B14" s="10">
        <f>B2*B9+B3*(1-B12)*B10</f>
        <v>0.13240586401636698</v>
      </c>
      <c r="C14" t="str">
        <f ca="1">getformula(B14)</f>
        <v>&lt;-- =B2*B9+B3*(1-B12)*B10</v>
      </c>
    </row>
  </sheetData>
  <mergeCells count="1">
    <mergeCell ref="A1:C1"/>
  </mergeCells>
  <phoneticPr fontId="0" type="noConversion"/>
  <printOptions headings="1" gridLines="1"/>
  <pageMargins left="0.75" right="0.75" top="1" bottom="1" header="0.5" footer="0.5"/>
  <pageSetup orientation="portrait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C18"/>
  <sheetViews>
    <sheetView tabSelected="1" workbookViewId="0">
      <selection sqref="A1:C1"/>
    </sheetView>
  </sheetViews>
  <sheetFormatPr defaultRowHeight="12.75" x14ac:dyDescent="0.2"/>
  <cols>
    <col min="1" max="1" width="19.85546875" customWidth="1"/>
    <col min="2" max="2" width="16.42578125" customWidth="1"/>
    <col min="3" max="3" width="23.28515625" customWidth="1"/>
  </cols>
  <sheetData>
    <row r="1" spans="1:3" ht="35.450000000000003" customHeight="1" x14ac:dyDescent="0.2">
      <c r="A1" s="32" t="s">
        <v>37</v>
      </c>
      <c r="B1" s="33"/>
      <c r="C1" s="33"/>
    </row>
    <row r="2" spans="1:3" x14ac:dyDescent="0.2">
      <c r="A2" t="s">
        <v>31</v>
      </c>
      <c r="B2" s="6">
        <f>'calc WACC'!B14</f>
        <v>0.13240586401636698</v>
      </c>
    </row>
    <row r="4" spans="1:3" x14ac:dyDescent="0.2">
      <c r="A4" s="3" t="s">
        <v>0</v>
      </c>
      <c r="B4" s="3" t="s">
        <v>55</v>
      </c>
    </row>
    <row r="5" spans="1:3" x14ac:dyDescent="0.2">
      <c r="A5" s="5">
        <v>0</v>
      </c>
      <c r="B5" s="11">
        <v>-100000</v>
      </c>
    </row>
    <row r="6" spans="1:3" x14ac:dyDescent="0.2">
      <c r="A6" s="5">
        <v>1</v>
      </c>
      <c r="B6" s="11">
        <v>15000</v>
      </c>
    </row>
    <row r="7" spans="1:3" x14ac:dyDescent="0.2">
      <c r="A7" s="5">
        <v>2</v>
      </c>
      <c r="B7" s="11">
        <v>22000</v>
      </c>
    </row>
    <row r="8" spans="1:3" x14ac:dyDescent="0.2">
      <c r="A8" s="5">
        <v>3</v>
      </c>
      <c r="B8" s="11">
        <v>33000</v>
      </c>
    </row>
    <row r="9" spans="1:3" x14ac:dyDescent="0.2">
      <c r="A9" s="5">
        <v>4</v>
      </c>
      <c r="B9" s="11">
        <v>44000</v>
      </c>
    </row>
    <row r="10" spans="1:3" x14ac:dyDescent="0.2">
      <c r="A10" s="5">
        <v>5</v>
      </c>
      <c r="B10" s="11">
        <v>12000</v>
      </c>
    </row>
    <row r="12" spans="1:3" x14ac:dyDescent="0.2">
      <c r="A12" s="8" t="s">
        <v>1</v>
      </c>
      <c r="B12" s="25">
        <f>B5+NPV(B2,B6:B10)</f>
        <v>-13670.930298604231</v>
      </c>
      <c r="C12" t="str">
        <f ca="1">getformula(B12)</f>
        <v>&lt;-- =B5+NPV(B2,B6:B10)</v>
      </c>
    </row>
    <row r="13" spans="1:3" x14ac:dyDescent="0.2">
      <c r="A13" s="8" t="s">
        <v>2</v>
      </c>
      <c r="B13" s="12">
        <f>IRR(B5:B10)</f>
        <v>7.8048978997314666E-2</v>
      </c>
      <c r="C13" t="str">
        <f ca="1">getformula(B13)</f>
        <v>&lt;-- =IRR(B5:B10)</v>
      </c>
    </row>
    <row r="15" spans="1:3" x14ac:dyDescent="0.2">
      <c r="A15" s="7" t="s">
        <v>56</v>
      </c>
    </row>
    <row r="16" spans="1:3" x14ac:dyDescent="0.2">
      <c r="A16" t="s">
        <v>34</v>
      </c>
      <c r="B16" s="6">
        <f>'calc rD'!B6</f>
        <v>5.53984650008656E-2</v>
      </c>
    </row>
    <row r="17" spans="1:3" x14ac:dyDescent="0.2">
      <c r="A17" t="s">
        <v>35</v>
      </c>
      <c r="B17" s="6">
        <f>'calc Tc'!B6</f>
        <v>0.32914437393720708</v>
      </c>
    </row>
    <row r="18" spans="1:3" x14ac:dyDescent="0.2">
      <c r="A18" t="s">
        <v>36</v>
      </c>
      <c r="B18" s="9">
        <f>(1-B17)*B16</f>
        <v>3.7164371921073414E-2</v>
      </c>
      <c r="C18" t="str">
        <f ca="1">getformula(B18)</f>
        <v>&lt;-- =(1-B17)*B16</v>
      </c>
    </row>
  </sheetData>
  <mergeCells count="1">
    <mergeCell ref="A1:C1"/>
  </mergeCells>
  <phoneticPr fontId="8" type="noConversion"/>
  <printOptions headings="1" gridLines="1"/>
  <pageMargins left="0.75" right="0.75" top="1" bottom="1" header="0.5" footer="0.5"/>
  <pageSetup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small ex</vt:lpstr>
      <vt:lpstr>Gordon Model</vt:lpstr>
      <vt:lpstr>Gordon again</vt:lpstr>
      <vt:lpstr>cal rE</vt:lpstr>
      <vt:lpstr>calc rD</vt:lpstr>
      <vt:lpstr>calc Tc</vt:lpstr>
      <vt:lpstr>calc WACC</vt:lpstr>
      <vt:lpstr>using WACC</vt:lpstr>
    </vt:vector>
  </TitlesOfParts>
  <Company>University of Pennsylvania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Simon Benninga</dc:creator>
  <cp:lastModifiedBy>Brian</cp:lastModifiedBy>
  <dcterms:created xsi:type="dcterms:W3CDTF">2002-06-23T19:58:49Z</dcterms:created>
  <dcterms:modified xsi:type="dcterms:W3CDTF">2014-07-25T14:05:40Z</dcterms:modified>
</cp:coreProperties>
</file>